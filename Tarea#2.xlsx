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techn-my.sharepoint.com/personal/ema_castellanos_unitec_edu/Documents/2026/Q2 2026/analisis de algoritmos/Semana 6/"/>
    </mc:Choice>
  </mc:AlternateContent>
  <xr:revisionPtr revIDLastSave="169" documentId="8_{EBE05390-39BD-48B3-B14E-C882FAC2D8CB}" xr6:coauthVersionLast="47" xr6:coauthVersionMax="47" xr10:uidLastSave="{3BDE7D7D-80B9-42BF-80D0-54E3F73D7BA2}"/>
  <bookViews>
    <workbookView xWindow="11424" yWindow="0" windowWidth="11712" windowHeight="12336" activeTab="1" xr2:uid="{0331FB16-A420-4772-893E-678055F07C6C}"/>
  </bookViews>
  <sheets>
    <sheet name="Sorts De Ema" sheetId="1" r:id="rId1"/>
    <sheet name="Sorts De I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8" i="2" l="1"/>
  <c r="S7" i="2"/>
  <c r="S6" i="2"/>
  <c r="S5" i="2"/>
  <c r="S4" i="2"/>
  <c r="S3" i="2"/>
  <c r="S4" i="1"/>
  <c r="S5" i="1"/>
  <c r="S6" i="1"/>
  <c r="S7" i="1"/>
  <c r="S8" i="1"/>
  <c r="S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tc={079B16CC-2696-4C04-835E-03E2061C0AD6}</author>
    <author>tc={644A68B1-B9B8-4B47-997E-1A1BB44A7744}</author>
    <author>tc={FF92988B-237A-4258-BE74-B81A76871729}</author>
  </authors>
  <commentList>
    <comment ref="Q3" authorId="0" shapeId="0" xr:uid="{079B16CC-2696-4C04-835E-03E2061C0AD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Pasaron 20 minutos y nada</t>
      </text>
    </comment>
    <comment ref="Q4" authorId="1" shapeId="0" xr:uid="{644A68B1-B9B8-4B47-997E-1A1BB44A774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Pasaron 20 minutos y nada</t>
      </text>
    </comment>
    <comment ref="Q5" authorId="2" shapeId="0" xr:uid="{FF92988B-237A-4258-BE74-B81A7687172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Pasaron 20 minutos y nada</t>
      </text>
    </comment>
  </commentList>
</comments>
</file>

<file path=xl/sharedStrings.xml><?xml version="1.0" encoding="utf-8"?>
<sst xmlns="http://schemas.openxmlformats.org/spreadsheetml/2006/main" count="68" uniqueCount="31">
  <si>
    <t>Algoritmo</t>
  </si>
  <si>
    <t>Prueba 1 (s)</t>
  </si>
  <si>
    <t>Prueba 2 (s)</t>
  </si>
  <si>
    <t>Prueba 3 (s)</t>
  </si>
  <si>
    <t>Promedio (s)</t>
  </si>
  <si>
    <t>Insertion Sort</t>
  </si>
  <si>
    <t>Selection Sort</t>
  </si>
  <si>
    <t>Cantidad de elementos</t>
  </si>
  <si>
    <t>Prueba 4 (s)</t>
  </si>
  <si>
    <t>Prueba 5 (s)</t>
  </si>
  <si>
    <t>Prueba 6 (s)</t>
  </si>
  <si>
    <t>Prueba 7 (s)</t>
  </si>
  <si>
    <t>Prueba 8 (s)</t>
  </si>
  <si>
    <t>n/a</t>
  </si>
  <si>
    <t>Merge Sort</t>
  </si>
  <si>
    <t>Heap Sort</t>
  </si>
  <si>
    <t>Quick Sort</t>
  </si>
  <si>
    <t>Bubble Sort</t>
  </si>
  <si>
    <t>X</t>
  </si>
  <si>
    <t>x</t>
  </si>
  <si>
    <t>Mismo tamaño, diferentes elementos</t>
  </si>
  <si>
    <t>Realizado una versión con IA por fines de investigación para observar la diferencia de comportamiento :)</t>
  </si>
  <si>
    <t>Prueba 1 (ms)</t>
  </si>
  <si>
    <t>Prueba 2 (ms)</t>
  </si>
  <si>
    <t>Prueba 3 (ms)</t>
  </si>
  <si>
    <t>Prueba 4 (ms)</t>
  </si>
  <si>
    <t>Prueba 5 (ms)</t>
  </si>
  <si>
    <t>Prueba 6 (ms)</t>
  </si>
  <si>
    <t>Prueba 7 (ms)</t>
  </si>
  <si>
    <t>Prueba 8 (ms)</t>
  </si>
  <si>
    <t>Promedio entre puebas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</si>
</sst>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b/>
      <sz val="11"/>
      <color theme="0"/>
      <name val="Arial"/>
      <family val="2"/>
    </font>
    <font>
      <sz val="9"/>
      <color indexed="81"/>
      <name val="Tahoma"/>
      <family val="2"/>
    </font>
  </fonts>
  <fills count="19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4" fillId="4" borderId="1" xfId="0" applyFont="1" applyFill="1" applyBorder="1" applyAlignment="1">
      <alignment horizontal="left" vertical="center" wrapText="1" indent="1"/>
    </xf>
    <xf numFmtId="165" fontId="1" fillId="6" borderId="1" xfId="0" applyNumberFormat="1" applyFont="1" applyFill="1" applyBorder="1" applyAlignment="1">
      <alignment horizontal="center" vertical="center" wrapText="1"/>
    </xf>
    <xf numFmtId="165" fontId="1" fillId="8" borderId="1" xfId="0" applyNumberFormat="1" applyFont="1" applyFill="1" applyBorder="1" applyAlignment="1">
      <alignment horizontal="center" vertical="center" wrapText="1"/>
    </xf>
    <xf numFmtId="165" fontId="1" fillId="3" borderId="1" xfId="0" applyNumberFormat="1" applyFont="1" applyFill="1" applyBorder="1" applyAlignment="1">
      <alignment horizontal="center" vertical="center" wrapText="1"/>
    </xf>
    <xf numFmtId="165" fontId="1" fillId="11" borderId="1" xfId="0" applyNumberFormat="1" applyFont="1" applyFill="1" applyBorder="1" applyAlignment="1">
      <alignment horizontal="center" vertical="center" wrapText="1"/>
    </xf>
    <xf numFmtId="165" fontId="1" fillId="12" borderId="1" xfId="0" applyNumberFormat="1" applyFont="1" applyFill="1" applyBorder="1" applyAlignment="1">
      <alignment horizontal="center" vertical="center" wrapText="1"/>
    </xf>
    <xf numFmtId="165" fontId="1" fillId="14" borderId="1" xfId="0" applyNumberFormat="1" applyFont="1" applyFill="1" applyBorder="1" applyAlignment="1">
      <alignment horizontal="center" vertical="center" wrapText="1"/>
    </xf>
    <xf numFmtId="165" fontId="1" fillId="16" borderId="1" xfId="0" applyNumberFormat="1" applyFont="1" applyFill="1" applyBorder="1" applyAlignment="1">
      <alignment horizontal="center" vertical="center" wrapText="1"/>
    </xf>
    <xf numFmtId="165" fontId="1" fillId="18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65" fontId="1" fillId="6" borderId="1" xfId="0" applyNumberFormat="1" applyFont="1" applyFill="1" applyBorder="1" applyAlignment="1">
      <alignment horizontal="center" vertical="center"/>
    </xf>
    <xf numFmtId="165" fontId="1" fillId="8" borderId="1" xfId="0" applyNumberFormat="1" applyFont="1" applyFill="1" applyBorder="1" applyAlignment="1">
      <alignment horizontal="center" vertical="center"/>
    </xf>
    <xf numFmtId="165" fontId="1" fillId="3" borderId="1" xfId="0" applyNumberFormat="1" applyFont="1" applyFill="1" applyBorder="1" applyAlignment="1">
      <alignment horizontal="center" vertical="center"/>
    </xf>
    <xf numFmtId="165" fontId="1" fillId="11" borderId="1" xfId="0" applyNumberFormat="1" applyFont="1" applyFill="1" applyBorder="1" applyAlignment="1">
      <alignment horizontal="center" vertical="center"/>
    </xf>
    <xf numFmtId="165" fontId="1" fillId="12" borderId="1" xfId="0" applyNumberFormat="1" applyFont="1" applyFill="1" applyBorder="1" applyAlignment="1">
      <alignment horizontal="center" vertical="center"/>
    </xf>
    <xf numFmtId="165" fontId="1" fillId="14" borderId="1" xfId="0" applyNumberFormat="1" applyFont="1" applyFill="1" applyBorder="1" applyAlignment="1">
      <alignment horizontal="center" vertical="center"/>
    </xf>
    <xf numFmtId="165" fontId="1" fillId="16" borderId="1" xfId="0" applyNumberFormat="1" applyFont="1" applyFill="1" applyBorder="1" applyAlignment="1">
      <alignment horizontal="center" vertical="center"/>
    </xf>
    <xf numFmtId="165" fontId="1" fillId="18" borderId="1" xfId="0" applyNumberFormat="1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4" fillId="7" borderId="2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vertical="center" wrapText="1"/>
    </xf>
    <xf numFmtId="0" fontId="4" fillId="15" borderId="2" xfId="0" applyFont="1" applyFill="1" applyBorder="1" applyAlignment="1">
      <alignment horizontal="center" vertical="center" wrapText="1"/>
    </xf>
    <xf numFmtId="0" fontId="4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8" borderId="2" xfId="0" applyFont="1" applyFill="1" applyBorder="1" applyAlignment="1">
      <alignment horizontal="center" vertical="center" wrapText="1"/>
    </xf>
    <xf numFmtId="0" fontId="2" fillId="18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165" fontId="1" fillId="18" borderId="2" xfId="0" applyNumberFormat="1" applyFont="1" applyFill="1" applyBorder="1" applyAlignment="1">
      <alignment horizontal="center" vertical="center"/>
    </xf>
    <xf numFmtId="165" fontId="1" fillId="18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MA PAOLA CASTELLANOS GALEAS" id="{295C8FAE-595D-49B2-B473-4AB46D987526}" userId="S::ema.castellanos@unitec.edu::f60c8555-f215-4db1-af30-7e6091745574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3" dT="2026-05-30T04:46:31.55" personId="{295C8FAE-595D-49B2-B473-4AB46D987526}" id="{079B16CC-2696-4C04-835E-03E2061C0AD6}">
    <text>Pasaron 20 minutos y nada</text>
  </threadedComment>
  <threadedComment ref="Q4" dT="2026-05-30T04:46:31.55" personId="{295C8FAE-595D-49B2-B473-4AB46D987526}" id="{644A68B1-B9B8-4B47-997E-1A1BB44A7744}">
    <text>Pasaron 20 minutos y nada</text>
  </threadedComment>
  <threadedComment ref="Q5" dT="2026-05-30T04:46:31.55" personId="{295C8FAE-595D-49B2-B473-4AB46D987526}" id="{FF92988B-237A-4258-BE74-B81A76871729}">
    <text>Pasaron 20 minutos y nada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33A91-1209-464F-8079-D46E86F49EA6}">
  <dimension ref="A1:S9"/>
  <sheetViews>
    <sheetView zoomScale="91" zoomScaleNormal="91" workbookViewId="0">
      <pane xSplit="1" topLeftCell="C1" activePane="topRight" state="frozen"/>
      <selection pane="topRight" activeCell="D3" sqref="D1:D1048576"/>
    </sheetView>
  </sheetViews>
  <sheetFormatPr baseColWidth="10" defaultRowHeight="14.4" x14ac:dyDescent="0.3"/>
  <cols>
    <col min="1" max="1" width="16.88671875" customWidth="1"/>
    <col min="2" max="2" width="15.6640625" bestFit="1" customWidth="1"/>
    <col min="3" max="17" width="15.6640625" customWidth="1"/>
    <col min="18" max="18" width="13.88671875" customWidth="1"/>
    <col min="19" max="19" width="15.44140625" style="13" customWidth="1"/>
  </cols>
  <sheetData>
    <row r="1" spans="1:19" x14ac:dyDescent="0.3">
      <c r="A1" s="24" t="s">
        <v>0</v>
      </c>
      <c r="B1" s="1"/>
      <c r="C1" s="25" t="s">
        <v>1</v>
      </c>
      <c r="D1" s="26"/>
      <c r="E1" s="30" t="s">
        <v>2</v>
      </c>
      <c r="F1" s="31"/>
      <c r="G1" s="34" t="s">
        <v>3</v>
      </c>
      <c r="H1" s="35"/>
      <c r="I1" s="38" t="s">
        <v>8</v>
      </c>
      <c r="J1" s="39"/>
      <c r="K1" s="42" t="s">
        <v>9</v>
      </c>
      <c r="L1" s="43"/>
      <c r="M1" s="46" t="s">
        <v>10</v>
      </c>
      <c r="N1" s="47"/>
      <c r="O1" s="48" t="s">
        <v>11</v>
      </c>
      <c r="P1" s="49"/>
      <c r="Q1" s="52" t="s">
        <v>12</v>
      </c>
      <c r="R1" s="53"/>
      <c r="S1" s="11" t="s">
        <v>4</v>
      </c>
    </row>
    <row r="2" spans="1:19" ht="27.6" x14ac:dyDescent="0.3">
      <c r="A2" s="24"/>
      <c r="B2" s="2" t="s">
        <v>7</v>
      </c>
      <c r="C2" s="27">
        <v>5</v>
      </c>
      <c r="D2" s="28"/>
      <c r="E2" s="32">
        <v>10</v>
      </c>
      <c r="F2" s="33"/>
      <c r="G2" s="36">
        <v>100</v>
      </c>
      <c r="H2" s="37"/>
      <c r="I2" s="40">
        <v>1000</v>
      </c>
      <c r="J2" s="41"/>
      <c r="K2" s="44">
        <v>5000</v>
      </c>
      <c r="L2" s="45"/>
      <c r="M2" s="22">
        <v>10000</v>
      </c>
      <c r="N2" s="22">
        <v>10000</v>
      </c>
      <c r="O2" s="50">
        <v>100000</v>
      </c>
      <c r="P2" s="51"/>
      <c r="Q2" s="54">
        <v>500000</v>
      </c>
      <c r="R2" s="55"/>
      <c r="S2" s="11" t="s">
        <v>13</v>
      </c>
    </row>
    <row r="3" spans="1:19" ht="28.2" customHeight="1" x14ac:dyDescent="0.3">
      <c r="A3" s="23" t="s">
        <v>5</v>
      </c>
      <c r="B3" s="23"/>
      <c r="C3" s="14"/>
      <c r="D3" s="14"/>
      <c r="E3" s="15"/>
      <c r="F3" s="15"/>
      <c r="G3" s="16"/>
      <c r="H3" s="16"/>
      <c r="I3" s="17"/>
      <c r="J3" s="17"/>
      <c r="K3" s="18"/>
      <c r="L3" s="18"/>
      <c r="M3" s="19"/>
      <c r="N3" s="19"/>
      <c r="O3" s="20" t="s">
        <v>19</v>
      </c>
      <c r="P3" s="20" t="s">
        <v>19</v>
      </c>
      <c r="Q3" s="21" t="s">
        <v>19</v>
      </c>
      <c r="R3" s="21" t="s">
        <v>19</v>
      </c>
      <c r="S3" s="12" t="e">
        <f>AVERAGE(C3:R3)</f>
        <v>#DIV/0!</v>
      </c>
    </row>
    <row r="4" spans="1:19" ht="28.2" customHeight="1" x14ac:dyDescent="0.3">
      <c r="A4" s="23" t="s">
        <v>6</v>
      </c>
      <c r="B4" s="23"/>
      <c r="C4" s="14"/>
      <c r="D4" s="14"/>
      <c r="E4" s="15"/>
      <c r="F4" s="15"/>
      <c r="G4" s="16"/>
      <c r="H4" s="16"/>
      <c r="I4" s="17"/>
      <c r="J4" s="17"/>
      <c r="K4" s="18"/>
      <c r="L4" s="18"/>
      <c r="M4" s="19"/>
      <c r="N4" s="19"/>
      <c r="O4" s="20" t="s">
        <v>19</v>
      </c>
      <c r="P4" s="20" t="s">
        <v>19</v>
      </c>
      <c r="Q4" s="21" t="s">
        <v>19</v>
      </c>
      <c r="R4" s="21" t="s">
        <v>19</v>
      </c>
      <c r="S4" s="12" t="e">
        <f t="shared" ref="S4:S8" si="0">AVERAGE(C4:R4)</f>
        <v>#DIV/0!</v>
      </c>
    </row>
    <row r="5" spans="1:19" ht="28.2" customHeight="1" x14ac:dyDescent="0.3">
      <c r="A5" s="23" t="s">
        <v>17</v>
      </c>
      <c r="B5" s="23"/>
      <c r="C5" s="14"/>
      <c r="D5" s="14"/>
      <c r="E5" s="15"/>
      <c r="F5" s="15"/>
      <c r="G5" s="16"/>
      <c r="H5" s="16"/>
      <c r="I5" s="17"/>
      <c r="J5" s="17"/>
      <c r="K5" s="18"/>
      <c r="L5" s="18"/>
      <c r="M5" s="19"/>
      <c r="N5" s="19"/>
      <c r="O5" s="20" t="s">
        <v>18</v>
      </c>
      <c r="P5" s="20" t="s">
        <v>18</v>
      </c>
      <c r="Q5" s="21" t="s">
        <v>18</v>
      </c>
      <c r="R5" s="21" t="s">
        <v>18</v>
      </c>
      <c r="S5" s="12" t="e">
        <f t="shared" si="0"/>
        <v>#DIV/0!</v>
      </c>
    </row>
    <row r="6" spans="1:19" ht="28.2" customHeight="1" x14ac:dyDescent="0.3">
      <c r="A6" s="23" t="s">
        <v>14</v>
      </c>
      <c r="B6" s="23"/>
      <c r="C6" s="14"/>
      <c r="D6" s="14"/>
      <c r="E6" s="15"/>
      <c r="F6" s="15"/>
      <c r="G6" s="16"/>
      <c r="H6" s="16"/>
      <c r="I6" s="17"/>
      <c r="J6" s="17"/>
      <c r="K6" s="18"/>
      <c r="L6" s="18"/>
      <c r="M6" s="19"/>
      <c r="N6" s="19"/>
      <c r="O6" s="20"/>
      <c r="P6" s="20"/>
      <c r="Q6" s="21"/>
      <c r="R6" s="21"/>
      <c r="S6" s="12" t="e">
        <f t="shared" si="0"/>
        <v>#DIV/0!</v>
      </c>
    </row>
    <row r="7" spans="1:19" ht="28.2" customHeight="1" x14ac:dyDescent="0.3">
      <c r="A7" s="23" t="s">
        <v>15</v>
      </c>
      <c r="B7" s="23"/>
      <c r="C7" s="14"/>
      <c r="D7" s="14"/>
      <c r="E7" s="15"/>
      <c r="F7" s="15"/>
      <c r="G7" s="16"/>
      <c r="H7" s="16"/>
      <c r="I7" s="17"/>
      <c r="J7" s="17"/>
      <c r="K7" s="18"/>
      <c r="L7" s="18"/>
      <c r="M7" s="19"/>
      <c r="N7" s="19"/>
      <c r="O7" s="20"/>
      <c r="P7" s="20"/>
      <c r="Q7" s="21"/>
      <c r="R7" s="21"/>
      <c r="S7" s="12" t="e">
        <f t="shared" si="0"/>
        <v>#DIV/0!</v>
      </c>
    </row>
    <row r="8" spans="1:19" ht="28.2" customHeight="1" x14ac:dyDescent="0.3">
      <c r="A8" s="23" t="s">
        <v>16</v>
      </c>
      <c r="B8" s="23"/>
      <c r="C8" s="3"/>
      <c r="D8" s="3"/>
      <c r="E8" s="4"/>
      <c r="F8" s="4"/>
      <c r="G8" s="5"/>
      <c r="H8" s="5"/>
      <c r="I8" s="6"/>
      <c r="J8" s="6"/>
      <c r="K8" s="7"/>
      <c r="L8" s="7"/>
      <c r="M8" s="8"/>
      <c r="N8" s="8"/>
      <c r="O8" s="9"/>
      <c r="P8" s="9"/>
      <c r="Q8" s="10"/>
      <c r="R8" s="10"/>
      <c r="S8" s="12" t="e">
        <f t="shared" si="0"/>
        <v>#DIV/0!</v>
      </c>
    </row>
    <row r="9" spans="1:19" x14ac:dyDescent="0.3">
      <c r="C9" s="29" t="s">
        <v>20</v>
      </c>
      <c r="D9" s="29"/>
      <c r="E9" s="29" t="s">
        <v>20</v>
      </c>
      <c r="F9" s="29"/>
      <c r="G9" s="29" t="s">
        <v>20</v>
      </c>
      <c r="H9" s="29"/>
      <c r="I9" s="29" t="s">
        <v>20</v>
      </c>
      <c r="J9" s="29"/>
      <c r="K9" s="29" t="s">
        <v>20</v>
      </c>
      <c r="L9" s="29"/>
      <c r="M9" s="29" t="s">
        <v>20</v>
      </c>
      <c r="N9" s="29"/>
      <c r="O9" s="29" t="s">
        <v>20</v>
      </c>
      <c r="P9" s="29"/>
      <c r="Q9" s="29" t="s">
        <v>20</v>
      </c>
      <c r="R9" s="29"/>
    </row>
  </sheetData>
  <mergeCells count="30">
    <mergeCell ref="Q1:R1"/>
    <mergeCell ref="Q2:R2"/>
    <mergeCell ref="O9:P9"/>
    <mergeCell ref="Q9:R9"/>
    <mergeCell ref="M1:N1"/>
    <mergeCell ref="K9:L9"/>
    <mergeCell ref="M9:N9"/>
    <mergeCell ref="O1:P1"/>
    <mergeCell ref="O2:P2"/>
    <mergeCell ref="I1:J1"/>
    <mergeCell ref="I2:J2"/>
    <mergeCell ref="I9:J9"/>
    <mergeCell ref="K1:L1"/>
    <mergeCell ref="K2:L2"/>
    <mergeCell ref="G9:H9"/>
    <mergeCell ref="E1:F1"/>
    <mergeCell ref="E2:F2"/>
    <mergeCell ref="G1:H1"/>
    <mergeCell ref="G2:H2"/>
    <mergeCell ref="C1:D1"/>
    <mergeCell ref="C2:D2"/>
    <mergeCell ref="C9:D9"/>
    <mergeCell ref="E9:F9"/>
    <mergeCell ref="A8:B8"/>
    <mergeCell ref="A1:A2"/>
    <mergeCell ref="A3:B3"/>
    <mergeCell ref="A4:B4"/>
    <mergeCell ref="A5:B5"/>
    <mergeCell ref="A6:B6"/>
    <mergeCell ref="A7:B7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DF972-5DC6-49FF-9D35-A89C77D01290}">
  <dimension ref="A1:S12"/>
  <sheetViews>
    <sheetView tabSelected="1" zoomScale="85" zoomScaleNormal="85" workbookViewId="0">
      <pane xSplit="1" topLeftCell="N1" activePane="topRight" state="frozen"/>
      <selection pane="topRight" activeCell="O17" sqref="O17"/>
    </sheetView>
  </sheetViews>
  <sheetFormatPr baseColWidth="10" defaultRowHeight="14.4" x14ac:dyDescent="0.3"/>
  <cols>
    <col min="1" max="1" width="19.109375" customWidth="1"/>
    <col min="2" max="2" width="15.6640625" bestFit="1" customWidth="1"/>
    <col min="3" max="17" width="15.6640625" customWidth="1"/>
    <col min="18" max="18" width="13.88671875" customWidth="1"/>
    <col min="19" max="19" width="18.5546875" style="13" customWidth="1"/>
  </cols>
  <sheetData>
    <row r="1" spans="1:19" ht="27.6" x14ac:dyDescent="0.3">
      <c r="A1" s="24" t="s">
        <v>0</v>
      </c>
      <c r="B1" s="1"/>
      <c r="C1" s="25" t="s">
        <v>22</v>
      </c>
      <c r="D1" s="26"/>
      <c r="E1" s="30" t="s">
        <v>23</v>
      </c>
      <c r="F1" s="31"/>
      <c r="G1" s="34" t="s">
        <v>24</v>
      </c>
      <c r="H1" s="35"/>
      <c r="I1" s="38" t="s">
        <v>25</v>
      </c>
      <c r="J1" s="39"/>
      <c r="K1" s="42" t="s">
        <v>26</v>
      </c>
      <c r="L1" s="43"/>
      <c r="M1" s="46" t="s">
        <v>27</v>
      </c>
      <c r="N1" s="47"/>
      <c r="O1" s="48" t="s">
        <v>28</v>
      </c>
      <c r="P1" s="49"/>
      <c r="Q1" s="52" t="s">
        <v>29</v>
      </c>
      <c r="R1" s="53"/>
      <c r="S1" s="11" t="s">
        <v>30</v>
      </c>
    </row>
    <row r="2" spans="1:19" ht="27.6" x14ac:dyDescent="0.3">
      <c r="A2" s="24"/>
      <c r="B2" s="2" t="s">
        <v>7</v>
      </c>
      <c r="C2" s="27">
        <v>5</v>
      </c>
      <c r="D2" s="28"/>
      <c r="E2" s="32">
        <v>10</v>
      </c>
      <c r="F2" s="33"/>
      <c r="G2" s="36">
        <v>100</v>
      </c>
      <c r="H2" s="37"/>
      <c r="I2" s="40">
        <v>1000</v>
      </c>
      <c r="J2" s="41"/>
      <c r="K2" s="44">
        <v>10000</v>
      </c>
      <c r="L2" s="45"/>
      <c r="M2" s="56">
        <v>20000</v>
      </c>
      <c r="N2" s="57"/>
      <c r="O2" s="50">
        <v>100000</v>
      </c>
      <c r="P2" s="51"/>
      <c r="Q2" s="54">
        <v>500000</v>
      </c>
      <c r="R2" s="55"/>
      <c r="S2" s="11" t="s">
        <v>13</v>
      </c>
    </row>
    <row r="3" spans="1:19" ht="28.2" customHeight="1" x14ac:dyDescent="0.3">
      <c r="A3" s="23" t="s">
        <v>5</v>
      </c>
      <c r="B3" s="23"/>
      <c r="C3" s="14">
        <v>0</v>
      </c>
      <c r="D3" s="14">
        <v>0</v>
      </c>
      <c r="E3" s="15">
        <v>0</v>
      </c>
      <c r="F3" s="15">
        <v>0</v>
      </c>
      <c r="G3" s="16">
        <v>0</v>
      </c>
      <c r="H3" s="16">
        <v>0</v>
      </c>
      <c r="I3" s="17">
        <v>1.5169999999999999</v>
      </c>
      <c r="J3" s="17">
        <v>2.0190000000000001</v>
      </c>
      <c r="K3" s="18">
        <v>95.652000000000001</v>
      </c>
      <c r="L3" s="18">
        <v>95.533000000000001</v>
      </c>
      <c r="M3" s="19">
        <v>405.09100000000001</v>
      </c>
      <c r="N3" s="19">
        <v>446.76499999999999</v>
      </c>
      <c r="O3" s="20">
        <v>10283.782999999999</v>
      </c>
      <c r="P3" s="20">
        <v>15858.123</v>
      </c>
      <c r="Q3" s="58" t="s">
        <v>19</v>
      </c>
      <c r="R3" s="59"/>
      <c r="S3" s="12">
        <f>AVERAGE(C3:R3)</f>
        <v>1942.0345</v>
      </c>
    </row>
    <row r="4" spans="1:19" ht="28.2" customHeight="1" x14ac:dyDescent="0.3">
      <c r="A4" s="23" t="s">
        <v>6</v>
      </c>
      <c r="B4" s="23"/>
      <c r="C4" s="14">
        <v>0</v>
      </c>
      <c r="D4" s="14">
        <v>0</v>
      </c>
      <c r="E4" s="15">
        <v>0</v>
      </c>
      <c r="F4" s="15">
        <v>0</v>
      </c>
      <c r="G4" s="16">
        <v>0</v>
      </c>
      <c r="H4" s="16">
        <v>0</v>
      </c>
      <c r="I4" s="17">
        <v>2.5179999999999998</v>
      </c>
      <c r="J4" s="17">
        <v>3.1059999999999999</v>
      </c>
      <c r="K4" s="18">
        <v>170.49700000000001</v>
      </c>
      <c r="L4" s="18">
        <v>174.483</v>
      </c>
      <c r="M4" s="19">
        <v>736.30600000000004</v>
      </c>
      <c r="N4" s="19">
        <v>787.43700000000001</v>
      </c>
      <c r="O4" s="20">
        <v>13341.522000000001</v>
      </c>
      <c r="P4" s="20">
        <v>14271.179</v>
      </c>
      <c r="Q4" s="58" t="s">
        <v>19</v>
      </c>
      <c r="R4" s="59"/>
      <c r="S4" s="12">
        <f t="shared" ref="S4:S8" si="0">AVERAGE(C4:R4)</f>
        <v>2106.2177142857145</v>
      </c>
    </row>
    <row r="5" spans="1:19" ht="28.2" customHeight="1" x14ac:dyDescent="0.3">
      <c r="A5" s="23" t="s">
        <v>17</v>
      </c>
      <c r="B5" s="23"/>
      <c r="C5" s="14">
        <v>0</v>
      </c>
      <c r="D5" s="14">
        <v>0</v>
      </c>
      <c r="E5" s="15">
        <v>0</v>
      </c>
      <c r="F5" s="15">
        <v>0</v>
      </c>
      <c r="G5" s="16">
        <v>0</v>
      </c>
      <c r="H5" s="16">
        <v>0</v>
      </c>
      <c r="I5" s="17">
        <v>7.0359999999999996</v>
      </c>
      <c r="J5" s="17">
        <v>14.714</v>
      </c>
      <c r="K5" s="18">
        <v>784.29399999999998</v>
      </c>
      <c r="L5" s="18">
        <v>726.31399999999996</v>
      </c>
      <c r="M5" s="19">
        <v>3085.8739999999998</v>
      </c>
      <c r="N5" s="19">
        <v>3188.3470000000002</v>
      </c>
      <c r="O5" s="20">
        <v>65010.446000000004</v>
      </c>
      <c r="P5" s="20">
        <v>67090.979000000007</v>
      </c>
      <c r="Q5" s="58" t="s">
        <v>19</v>
      </c>
      <c r="R5" s="59"/>
      <c r="S5" s="12">
        <f t="shared" si="0"/>
        <v>9993.4288571428588</v>
      </c>
    </row>
    <row r="6" spans="1:19" ht="28.2" customHeight="1" x14ac:dyDescent="0.3">
      <c r="A6" s="23" t="s">
        <v>14</v>
      </c>
      <c r="B6" s="23"/>
      <c r="C6" s="14">
        <v>0</v>
      </c>
      <c r="D6" s="14">
        <v>0</v>
      </c>
      <c r="E6" s="15">
        <v>0</v>
      </c>
      <c r="F6" s="15">
        <v>0</v>
      </c>
      <c r="G6" s="16">
        <v>0</v>
      </c>
      <c r="H6" s="16">
        <v>0</v>
      </c>
      <c r="I6" s="17">
        <v>1.5169999999999999</v>
      </c>
      <c r="J6" s="17">
        <v>1.002</v>
      </c>
      <c r="K6" s="18">
        <v>5.1230000000000002</v>
      </c>
      <c r="L6" s="18">
        <v>6.6509999999999998</v>
      </c>
      <c r="M6" s="19">
        <v>10.539</v>
      </c>
      <c r="N6" s="19">
        <v>11.895</v>
      </c>
      <c r="O6" s="20">
        <v>65.218000000000004</v>
      </c>
      <c r="P6" s="20">
        <v>86.474000000000004</v>
      </c>
      <c r="Q6" s="21">
        <v>195.15799999999999</v>
      </c>
      <c r="R6" s="21">
        <v>212.476</v>
      </c>
      <c r="S6" s="12">
        <f t="shared" si="0"/>
        <v>37.2533125</v>
      </c>
    </row>
    <row r="7" spans="1:19" ht="28.2" customHeight="1" x14ac:dyDescent="0.3">
      <c r="A7" s="23" t="s">
        <v>15</v>
      </c>
      <c r="B7" s="23"/>
      <c r="C7" s="14">
        <v>0</v>
      </c>
      <c r="D7" s="14">
        <v>0</v>
      </c>
      <c r="E7" s="15">
        <v>0</v>
      </c>
      <c r="F7" s="15">
        <v>0</v>
      </c>
      <c r="G7" s="16">
        <v>0</v>
      </c>
      <c r="H7" s="16">
        <v>0</v>
      </c>
      <c r="I7" s="17">
        <v>1.5169999999999999</v>
      </c>
      <c r="J7" s="17">
        <v>1.002</v>
      </c>
      <c r="K7" s="18">
        <v>5.008</v>
      </c>
      <c r="L7" s="18">
        <v>3.9910000000000001</v>
      </c>
      <c r="M7" s="19">
        <v>8.43</v>
      </c>
      <c r="N7" s="19">
        <v>10.563000000000001</v>
      </c>
      <c r="O7" s="20">
        <v>55.917000000000002</v>
      </c>
      <c r="P7" s="20">
        <v>70.751999999999995</v>
      </c>
      <c r="Q7" s="21">
        <v>246.233</v>
      </c>
      <c r="R7" s="21">
        <v>238.62299999999999</v>
      </c>
      <c r="S7" s="12">
        <f t="shared" si="0"/>
        <v>40.127250000000004</v>
      </c>
    </row>
    <row r="8" spans="1:19" ht="28.2" customHeight="1" x14ac:dyDescent="0.3">
      <c r="A8" s="23" t="s">
        <v>16</v>
      </c>
      <c r="B8" s="23"/>
      <c r="C8" s="14">
        <v>0</v>
      </c>
      <c r="D8" s="14">
        <v>0</v>
      </c>
      <c r="E8" s="15">
        <v>0</v>
      </c>
      <c r="F8" s="15">
        <v>0</v>
      </c>
      <c r="G8" s="16">
        <v>0</v>
      </c>
      <c r="H8" s="16">
        <v>0</v>
      </c>
      <c r="I8" s="6">
        <v>0</v>
      </c>
      <c r="J8" s="6">
        <v>0</v>
      </c>
      <c r="K8" s="7">
        <v>2.5259999999999998</v>
      </c>
      <c r="L8" s="7">
        <v>0.998</v>
      </c>
      <c r="M8" s="8">
        <v>4.53</v>
      </c>
      <c r="N8" s="8">
        <v>3.5529999999999999</v>
      </c>
      <c r="O8" s="9">
        <v>17.86</v>
      </c>
      <c r="P8" s="9">
        <v>12.606999999999999</v>
      </c>
      <c r="Q8" s="10">
        <v>77.991</v>
      </c>
      <c r="R8" s="10">
        <v>76.984999999999999</v>
      </c>
      <c r="S8" s="12">
        <f t="shared" si="0"/>
        <v>12.315625000000001</v>
      </c>
    </row>
    <row r="9" spans="1:19" x14ac:dyDescent="0.3">
      <c r="C9" s="29" t="s">
        <v>20</v>
      </c>
      <c r="D9" s="29"/>
      <c r="E9" s="29" t="s">
        <v>20</v>
      </c>
      <c r="F9" s="29"/>
      <c r="G9" s="29" t="s">
        <v>20</v>
      </c>
      <c r="H9" s="29"/>
      <c r="I9" s="29" t="s">
        <v>20</v>
      </c>
      <c r="J9" s="29"/>
      <c r="K9" s="29" t="s">
        <v>20</v>
      </c>
      <c r="L9" s="29"/>
      <c r="M9" s="29" t="s">
        <v>20</v>
      </c>
      <c r="N9" s="29"/>
      <c r="O9" s="29" t="s">
        <v>20</v>
      </c>
      <c r="P9" s="29"/>
      <c r="Q9" s="29" t="s">
        <v>20</v>
      </c>
      <c r="R9" s="29"/>
    </row>
    <row r="12" spans="1:19" x14ac:dyDescent="0.3">
      <c r="B12" t="s">
        <v>21</v>
      </c>
    </row>
  </sheetData>
  <mergeCells count="34">
    <mergeCell ref="O9:P9"/>
    <mergeCell ref="Q9:R9"/>
    <mergeCell ref="M2:N2"/>
    <mergeCell ref="Q3:R3"/>
    <mergeCell ref="Q4:R4"/>
    <mergeCell ref="Q5:R5"/>
    <mergeCell ref="C9:D9"/>
    <mergeCell ref="E9:F9"/>
    <mergeCell ref="G9:H9"/>
    <mergeCell ref="I9:J9"/>
    <mergeCell ref="K9:L9"/>
    <mergeCell ref="M9:N9"/>
    <mergeCell ref="A3:B3"/>
    <mergeCell ref="A4:B4"/>
    <mergeCell ref="A5:B5"/>
    <mergeCell ref="A6:B6"/>
    <mergeCell ref="A7:B7"/>
    <mergeCell ref="A8:B8"/>
    <mergeCell ref="M1:N1"/>
    <mergeCell ref="O1:P1"/>
    <mergeCell ref="Q1:R1"/>
    <mergeCell ref="C2:D2"/>
    <mergeCell ref="E2:F2"/>
    <mergeCell ref="G2:H2"/>
    <mergeCell ref="I2:J2"/>
    <mergeCell ref="K2:L2"/>
    <mergeCell ref="O2:P2"/>
    <mergeCell ref="Q2:R2"/>
    <mergeCell ref="A1:A2"/>
    <mergeCell ref="C1:D1"/>
    <mergeCell ref="E1:F1"/>
    <mergeCell ref="G1:H1"/>
    <mergeCell ref="I1:J1"/>
    <mergeCell ref="K1:L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Sorts De Ema</vt:lpstr>
      <vt:lpstr>Sorts De 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 PAOLA CASTELLANOS GALEAS</dc:creator>
  <cp:lastModifiedBy>EMA PAOLA CASTELLANOS GALEAS</cp:lastModifiedBy>
  <dcterms:created xsi:type="dcterms:W3CDTF">2026-05-29T22:35:28Z</dcterms:created>
  <dcterms:modified xsi:type="dcterms:W3CDTF">2026-05-30T04:48:02Z</dcterms:modified>
</cp:coreProperties>
</file>